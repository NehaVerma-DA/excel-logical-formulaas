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3BE3F79DB8E88/Desktop/"/>
    </mc:Choice>
  </mc:AlternateContent>
  <xr:revisionPtr revIDLastSave="147" documentId="8_{FC5BD5D9-D425-49FE-AB9F-CE47DA51612A}" xr6:coauthVersionLast="47" xr6:coauthVersionMax="47" xr10:uidLastSave="{E813356E-4AAF-441F-9B41-C111B04D96E8}"/>
  <bookViews>
    <workbookView xWindow="-108" yWindow="-108" windowWidth="23256" windowHeight="12456" xr2:uid="{3F4128A8-7D1C-4272-8830-6498B39C338F}"/>
  </bookViews>
  <sheets>
    <sheet name="Sheet1" sheetId="1" r:id="rId1"/>
    <sheet name="Sheet2" sheetId="2" r:id="rId2"/>
  </sheets>
  <definedNames>
    <definedName name="_xlnm._FilterDatabase" localSheetId="0" hidden="1">Sheet1!$A$3:$AD$23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T4" i="1"/>
  <c r="U4" i="1"/>
  <c r="V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W4" i="1"/>
  <c r="S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4" i="1"/>
  <c r="K22" i="1"/>
  <c r="K2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4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5" i="1"/>
  <c r="J6" i="1"/>
  <c r="J7" i="1"/>
  <c r="I23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4" i="1"/>
  <c r="H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" i="1"/>
</calcChain>
</file>

<file path=xl/sharedStrings.xml><?xml version="1.0" encoding="utf-8"?>
<sst xmlns="http://schemas.openxmlformats.org/spreadsheetml/2006/main" count="135" uniqueCount="96">
  <si>
    <t>Emp ID</t>
  </si>
  <si>
    <t>Employee</t>
  </si>
  <si>
    <t>Department</t>
  </si>
  <si>
    <t>Sales</t>
  </si>
  <si>
    <t>Attendance %</t>
  </si>
  <si>
    <t>Experience (Years)</t>
  </si>
  <si>
    <t>E001</t>
  </si>
  <si>
    <t>Rahul</t>
  </si>
  <si>
    <t>Yes</t>
  </si>
  <si>
    <t>E002</t>
  </si>
  <si>
    <t>Amit</t>
  </si>
  <si>
    <t>Operations</t>
  </si>
  <si>
    <t>No</t>
  </si>
  <si>
    <t>E003</t>
  </si>
  <si>
    <t>Neha</t>
  </si>
  <si>
    <t>E004</t>
  </si>
  <si>
    <t>Priya</t>
  </si>
  <si>
    <t>HR</t>
  </si>
  <si>
    <t>E005</t>
  </si>
  <si>
    <t>Mohit</t>
  </si>
  <si>
    <t>Finance</t>
  </si>
  <si>
    <t>E006</t>
  </si>
  <si>
    <t>Ankit</t>
  </si>
  <si>
    <t>E007</t>
  </si>
  <si>
    <t>Pooja</t>
  </si>
  <si>
    <t>E008</t>
  </si>
  <si>
    <t>Vivek</t>
  </si>
  <si>
    <t>E009</t>
  </si>
  <si>
    <t>Karan</t>
  </si>
  <si>
    <t>E010</t>
  </si>
  <si>
    <t>Sneha</t>
  </si>
  <si>
    <t>E011</t>
  </si>
  <si>
    <t>Deepak</t>
  </si>
  <si>
    <t>E012</t>
  </si>
  <si>
    <t>Nidhi</t>
  </si>
  <si>
    <t>E013</t>
  </si>
  <si>
    <t>Rohit</t>
  </si>
  <si>
    <t>E014</t>
  </si>
  <si>
    <t>Simran</t>
  </si>
  <si>
    <t>E015</t>
  </si>
  <si>
    <t>Ajay</t>
  </si>
  <si>
    <t>E016</t>
  </si>
  <si>
    <t>Kavita</t>
  </si>
  <si>
    <t>E017</t>
  </si>
  <si>
    <t>Manish</t>
  </si>
  <si>
    <t>E018</t>
  </si>
  <si>
    <t>Ritu</t>
  </si>
  <si>
    <t>E019</t>
  </si>
  <si>
    <t>Arjun</t>
  </si>
  <si>
    <t>E020</t>
  </si>
  <si>
    <t>Shweta</t>
  </si>
  <si>
    <t>IF Function</t>
  </si>
  <si>
    <t>1. Sales 100000 ya usse jyada ho to "Achieved" warna "Not Achieved".</t>
  </si>
  <si>
    <t>2. Attendance 90% ya usse jyada ho to "Regular" warna "Irregular".</t>
  </si>
  <si>
    <t>3. Experience 5 saal ya usse jyada ho to "Senior" warna "Junior".</t>
  </si>
  <si>
    <t>4. Sales 150000 se jyada ho to "Star Performer" warna "Normal".</t>
  </si>
  <si>
    <t>5. Department Sales ho to "Revenue Team" warna "Support Team".</t>
  </si>
  <si>
    <t>AND Function</t>
  </si>
  <si>
    <t>6. Sales ≥ 100000 AND Attendance ≥ 90 ho to "Bonus Eligible".</t>
  </si>
  <si>
    <t>7. Experience ≥ 5 AND Target Achieved = Yes ho to "Promotion Eligible".</t>
  </si>
  <si>
    <t>8. Sales ≥ 150000 AND Attendance ≥ 95 ho to "Top Performer".</t>
  </si>
  <si>
    <t>9. Department = Sales AND Target Achieved = Yes ho to "Best Salesperson".</t>
  </si>
  <si>
    <t>10. Attendance ≥ 90 AND Experience ≥ 3 ho to "Reliable Employee".</t>
  </si>
  <si>
    <t>OR Function</t>
  </si>
  <si>
    <t>11. Sales ≥ 150000 OR Attendance ≥ 95 ho to "High Value".</t>
  </si>
  <si>
    <t>12. Experience ≥ 5 OR Target Achieved = Yes ho to "Potential Leader".</t>
  </si>
  <si>
    <t>13. Department = HR OR Finance ho to "Back Office".</t>
  </si>
  <si>
    <t>14. Attendance &lt; 85 OR Target Achieved = No ho to "Needs Attention".</t>
  </si>
  <si>
    <t>15. Sales &gt; 120000 OR Experience &gt; 5 ho to "Special Review".</t>
  </si>
  <si>
    <t>IF + AND + OR Combined</t>
  </si>
  <si>
    <t>16. Sales ≥ 100000 AND (Attendance ≥ 90 OR Experience ≥ 5) ho to "Excellent".</t>
  </si>
  <si>
    <t>17. Department = Sales AND Sales ≥ 150000 AND Target Achieved = Yes ho to "Sales Champion".</t>
  </si>
  <si>
    <t>18. (Department = HR OR Finance) AND Attendance ≥ 90 ho to "Admin Excellence".</t>
  </si>
  <si>
    <t>19. Sales ≥ 100000 AND Attendance ≥ 90 AND Experience ≥ 3 ho to "Gold Employee".</t>
  </si>
  <si>
    <t>20. Target Achieved = Yes AND (Sales ≥ 120000 OR Experience ≥ 5) ho to "Future Manager".</t>
  </si>
  <si>
    <t>Sol1</t>
  </si>
  <si>
    <t>Sol 2</t>
  </si>
  <si>
    <t>Sol3</t>
  </si>
  <si>
    <t>Sol 1</t>
  </si>
  <si>
    <t>target achived</t>
  </si>
  <si>
    <t xml:space="preserve">Sol3  </t>
  </si>
  <si>
    <t xml:space="preserve">Sol4 </t>
  </si>
  <si>
    <t>Sol 4</t>
  </si>
  <si>
    <t>Condition1</t>
  </si>
  <si>
    <t>Condition2</t>
  </si>
  <si>
    <t>`</t>
  </si>
  <si>
    <t xml:space="preserve"> Condition 3 </t>
  </si>
  <si>
    <t xml:space="preserve"> Condition4</t>
  </si>
  <si>
    <t>Condition 5</t>
  </si>
  <si>
    <t xml:space="preserve">OR </t>
  </si>
  <si>
    <t>OR</t>
  </si>
  <si>
    <t>mixed Condition 1</t>
  </si>
  <si>
    <t>Mixed Condition 3</t>
  </si>
  <si>
    <t>Mixed Condition 4</t>
  </si>
  <si>
    <t>Mixed condition 5</t>
  </si>
  <si>
    <t>Mixed Condition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</si>
</sst>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11"/>
      <color theme="1"/>
      <name val="Segoe UI"/>
      <family val="2"/>
    </font>
    <font>
      <b/>
      <sz val="13.5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6" fillId="5" borderId="1" xfId="0" applyFont="1" applyFill="1" applyBorder="1"/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FA24-BD3F-49B7-B490-4BDEF1827005}">
  <dimension ref="A1:AD26"/>
  <sheetViews>
    <sheetView tabSelected="1" zoomScale="97" zoomScaleNormal="85" workbookViewId="0">
      <selection activeCell="AH8" sqref="AH8"/>
    </sheetView>
  </sheetViews>
  <sheetFormatPr defaultRowHeight="14.4" x14ac:dyDescent="0.3"/>
  <cols>
    <col min="1" max="1" width="7.77734375" bestFit="1" customWidth="1"/>
    <col min="2" max="2" width="10.21875" bestFit="1" customWidth="1"/>
    <col min="3" max="3" width="12.33203125" bestFit="1" customWidth="1"/>
    <col min="4" max="4" width="7.6640625" bestFit="1" customWidth="1"/>
    <col min="5" max="5" width="14.44140625" bestFit="1" customWidth="1"/>
    <col min="6" max="6" width="18.6640625" customWidth="1"/>
    <col min="7" max="7" width="15.6640625" customWidth="1"/>
    <col min="8" max="9" width="0" hidden="1" customWidth="1"/>
    <col min="10" max="10" width="0.109375" customWidth="1"/>
    <col min="11" max="11" width="11.33203125" bestFit="1" customWidth="1"/>
    <col min="12" max="12" width="10.88671875" bestFit="1" customWidth="1"/>
    <col min="14" max="14" width="13.109375" customWidth="1"/>
    <col min="15" max="15" width="14.33203125" customWidth="1"/>
    <col min="16" max="16" width="16.109375" bestFit="1" customWidth="1"/>
    <col min="17" max="17" width="23.5546875" bestFit="1" customWidth="1"/>
    <col min="18" max="18" width="17.109375" customWidth="1"/>
    <col min="19" max="19" width="18.6640625" bestFit="1" customWidth="1"/>
    <col min="20" max="20" width="19.33203125" customWidth="1"/>
    <col min="21" max="21" width="13.44140625" customWidth="1"/>
    <col min="22" max="22" width="17.77734375" customWidth="1"/>
    <col min="23" max="23" width="12.5546875" customWidth="1"/>
    <col min="24" max="24" width="14.5546875" customWidth="1"/>
    <col min="25" max="25" width="17.77734375" customWidth="1"/>
    <col min="26" max="26" width="20.44140625" customWidth="1"/>
    <col min="27" max="27" width="21" customWidth="1"/>
    <col min="28" max="28" width="19" customWidth="1"/>
    <col min="29" max="29" width="18.88671875" customWidth="1"/>
    <col min="30" max="30" width="20" customWidth="1"/>
  </cols>
  <sheetData>
    <row r="1" spans="1:30" ht="16.8" x14ac:dyDescent="0.3">
      <c r="A1" s="2"/>
      <c r="P1" s="3"/>
    </row>
    <row r="2" spans="1:30" ht="16.8" x14ac:dyDescent="0.3">
      <c r="P2" s="3"/>
    </row>
    <row r="3" spans="1:30" ht="16.8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79</v>
      </c>
      <c r="H3" s="7" t="s">
        <v>75</v>
      </c>
      <c r="I3" s="7" t="s">
        <v>76</v>
      </c>
      <c r="J3" s="7" t="s">
        <v>77</v>
      </c>
      <c r="K3" s="8" t="s">
        <v>78</v>
      </c>
      <c r="L3" s="8" t="s">
        <v>76</v>
      </c>
      <c r="M3" s="8" t="s">
        <v>80</v>
      </c>
      <c r="N3" s="8" t="s">
        <v>81</v>
      </c>
      <c r="O3" s="8" t="s">
        <v>82</v>
      </c>
      <c r="P3" s="9" t="s">
        <v>83</v>
      </c>
      <c r="Q3" s="9" t="s">
        <v>84</v>
      </c>
      <c r="R3" s="9" t="s">
        <v>86</v>
      </c>
      <c r="S3" s="9" t="s">
        <v>87</v>
      </c>
      <c r="T3" s="9" t="s">
        <v>88</v>
      </c>
      <c r="U3" s="10" t="s">
        <v>89</v>
      </c>
      <c r="V3" s="10" t="s">
        <v>90</v>
      </c>
      <c r="W3" s="10" t="s">
        <v>90</v>
      </c>
      <c r="X3" s="10" t="s">
        <v>90</v>
      </c>
      <c r="Y3" s="10" t="s">
        <v>90</v>
      </c>
      <c r="Z3" s="11" t="s">
        <v>91</v>
      </c>
      <c r="AA3" s="15" t="s">
        <v>95</v>
      </c>
      <c r="AB3" s="11" t="s">
        <v>92</v>
      </c>
      <c r="AC3" s="11" t="s">
        <v>93</v>
      </c>
      <c r="AD3" s="11" t="s">
        <v>94</v>
      </c>
    </row>
    <row r="4" spans="1:30" ht="16.8" x14ac:dyDescent="0.3">
      <c r="A4" s="12" t="s">
        <v>6</v>
      </c>
      <c r="B4" s="12" t="s">
        <v>7</v>
      </c>
      <c r="C4" s="12" t="s">
        <v>3</v>
      </c>
      <c r="D4" s="16">
        <v>120000</v>
      </c>
      <c r="E4" s="12">
        <v>95</v>
      </c>
      <c r="F4" s="12">
        <v>4</v>
      </c>
      <c r="G4" s="12" t="s">
        <v>8</v>
      </c>
      <c r="H4" s="13" t="str">
        <f>IF(D4&gt;=100000,"Achived","Not Achived")</f>
        <v>Achived</v>
      </c>
      <c r="I4" s="13" t="str">
        <f>IF(E4&gt;=90,"Reggular","Ireggular")</f>
        <v>Reggular</v>
      </c>
      <c r="J4" s="13" t="str">
        <f>IF(F4&gt;=5,"Senior","Junior")</f>
        <v>Junior</v>
      </c>
      <c r="K4" s="13" t="str">
        <f>IF(D4&gt;=100000,"Achived","Not Achived")</f>
        <v>Achived</v>
      </c>
      <c r="L4" s="13" t="str">
        <f>IF(E4&gt;=90,"Regular","Not Regular")</f>
        <v>Regular</v>
      </c>
      <c r="M4" s="13" t="str">
        <f>IF(F4&gt;=5,"Senior","Junior")</f>
        <v>Junior</v>
      </c>
      <c r="N4" s="13" t="str">
        <f>IF(D4&gt;=150000,"Star Porformar","Normal")</f>
        <v>Normal</v>
      </c>
      <c r="O4" s="13" t="str">
        <f>IF(C4="Sales","Revenue Team","Support Team")</f>
        <v>Revenue Team</v>
      </c>
      <c r="P4" s="14" t="str">
        <f>IF(AND(D4&gt;=100000,E4&gt;=90),"Bonous Eligible","Not Eligible")</f>
        <v>Bonous Eligible</v>
      </c>
      <c r="Q4" s="14" t="str">
        <f>IF(AND(F4&gt;=5,G4&gt;="Yes"),"Promotion eligible","Promotion Not eligible")</f>
        <v>Promotion Not eligible</v>
      </c>
      <c r="R4" s="14" t="str">
        <f>IF(AND(D4&gt;=150000,E4&gt;=90),"Top Performer","Normal")</f>
        <v>Normal</v>
      </c>
      <c r="S4" s="13" t="str">
        <f>IF(AND(C4="Sales",G4="Yes"),"Best Sales Person ","NotBestSalesPerson")</f>
        <v xml:space="preserve">Best Sales Person </v>
      </c>
      <c r="T4" s="13" t="str">
        <f>IF(AND(E4&gt;=90,F4&gt;=3),"Reliable Employee","Not Reliable Employee")</f>
        <v>Reliable Employee</v>
      </c>
      <c r="U4" s="13" t="str">
        <f>IF(OR(D4&gt;=150000,E4&gt;=95),"High Value","Low Value")</f>
        <v>High Value</v>
      </c>
      <c r="V4" s="13" t="str">
        <f>IF(OR(F4&gt;=5,G4="Yes"),"Potential leader","not Potential Leader")</f>
        <v>Potential leader</v>
      </c>
      <c r="W4" s="13" t="str">
        <f>IF(OR(C4="HR","Finance"),"Back Office","Freshers")</f>
        <v>Freshers</v>
      </c>
      <c r="X4" s="13" t="str">
        <f>IF(OR(E4&lt;85,G4="yes"),"Needs attention","No Attantion")</f>
        <v>Needs attention</v>
      </c>
      <c r="Y4" s="13" t="str">
        <f>IF(OR(D4&gt;120000,F4&gt;5),"Special Review","Common Review")</f>
        <v>Common Review</v>
      </c>
      <c r="Z4" s="13" t="str">
        <f>IF(AND(D4&gt;=100000,OR(E4&gt;=90,F4&gt;=5)),"Excellent","poor")</f>
        <v>Excellent</v>
      </c>
      <c r="AA4" s="13" t="str">
        <f t="shared" ref="AA4:AA23" si="0">IF(AND(C4="Sales",D4&gt;=150000,G4="Yes"),"Sales Champion","Not Sales Champion")</f>
        <v>Not Sales Champion</v>
      </c>
      <c r="AB4" s="13" t="str">
        <f>IF(AND(C4="HR","Finence",E4&gt;=90),"Admin Excellence ","Admin Poor")</f>
        <v>Admin Poor</v>
      </c>
      <c r="AC4" s="13" t="str">
        <f>IF(AND(D4&gt;=100000,E4&gt;=90,F4&gt;=3),"Gold Employee","Silver Employee")</f>
        <v>Gold Employee</v>
      </c>
      <c r="AD4" s="13" t="str">
        <f>IF(AND(G4="Yes",OR(D4&gt;=120000,F4&gt;=5)),"Future manager","Not elligible Manager")</f>
        <v>Future manager</v>
      </c>
    </row>
    <row r="5" spans="1:30" ht="16.8" x14ac:dyDescent="0.3">
      <c r="A5" s="12" t="s">
        <v>9</v>
      </c>
      <c r="B5" s="12" t="s">
        <v>10</v>
      </c>
      <c r="C5" s="12" t="s">
        <v>11</v>
      </c>
      <c r="D5" s="16">
        <v>80000</v>
      </c>
      <c r="E5" s="12">
        <v>92</v>
      </c>
      <c r="F5" s="12">
        <v>2</v>
      </c>
      <c r="G5" s="12" t="s">
        <v>8</v>
      </c>
      <c r="H5" s="13" t="str">
        <f>IF(D5&gt;=100000,"Achived","Not Achived")</f>
        <v>Not Achived</v>
      </c>
      <c r="I5" s="13" t="str">
        <f t="shared" ref="I5:I23" si="1">IF(E5&gt;=90,"Reggular","Ireggular")</f>
        <v>Reggular</v>
      </c>
      <c r="J5" s="13" t="str">
        <f t="shared" ref="J5:J23" si="2">IF(F5&gt;=5,"Senior","Junior")</f>
        <v>Junior</v>
      </c>
      <c r="K5" s="13" t="str">
        <f t="shared" ref="K5:K23" si="3">IF(D5&gt;=100000,"Achived","Not Achived")</f>
        <v>Not Achived</v>
      </c>
      <c r="L5" s="13" t="str">
        <f t="shared" ref="L5:L23" si="4">IF(E5&gt;=90,"Regular","Not Regular")</f>
        <v>Regular</v>
      </c>
      <c r="M5" s="13" t="str">
        <f t="shared" ref="M5:M23" si="5">IF(F5&gt;=5,"Senior","Junior")</f>
        <v>Junior</v>
      </c>
      <c r="N5" s="13" t="str">
        <f t="shared" ref="N5:N23" si="6">IF(D5&gt;=150000,"Star Porformar","Normal")</f>
        <v>Normal</v>
      </c>
      <c r="O5" s="13" t="str">
        <f t="shared" ref="O5:O23" si="7">IF(C5="Sales","Revenue Team","Support Team")</f>
        <v>Support Team</v>
      </c>
      <c r="P5" s="14" t="str">
        <f t="shared" ref="P5:P23" si="8">IF(AND(D5&gt;=100000,E5&gt;=90),"Bonous Eligible","Not Eligible")</f>
        <v>Not Eligible</v>
      </c>
      <c r="Q5" s="14" t="str">
        <f t="shared" ref="Q5:Q23" si="9">IF(AND(F5&gt;=5,G5&gt;="Yes"),"Promotion eligible","Promotion Not eligible")</f>
        <v>Promotion Not eligible</v>
      </c>
      <c r="R5" s="14" t="str">
        <f t="shared" ref="R5:R23" si="10">IF(AND(D5&gt;=150000,E5&gt;=90),"Top Performer","Normal")</f>
        <v>Normal</v>
      </c>
      <c r="S5" s="13" t="str">
        <f t="shared" ref="S5:S23" si="11">IF(AND(C5="Sales",G5="Yes"),"Best Sales Person ","NotBestSalesPerson")</f>
        <v>NotBestSalesPerson</v>
      </c>
      <c r="T5" s="13" t="str">
        <f t="shared" ref="T5:T23" si="12">IF(AND(E5&gt;=90,F5&gt;=3),"Reliable Employee","Not Reliable Employee")</f>
        <v>Not Reliable Employee</v>
      </c>
      <c r="U5" s="13" t="str">
        <f t="shared" ref="U5:U23" si="13">IF(OR(D5&gt;=150000,E5&gt;=95),"High Value","Low Value")</f>
        <v>Low Value</v>
      </c>
      <c r="V5" s="13" t="str">
        <f t="shared" ref="V5:V23" si="14">IF(OR(F5&gt;=5,G5="Yes"),"Potential leader","not Potential Leader")</f>
        <v>Potential leader</v>
      </c>
      <c r="W5" s="13" t="str">
        <f t="shared" ref="W5:W23" si="15">IF(OR(C5="HR","Finance"),"Back Office","Freshers")</f>
        <v>Freshers</v>
      </c>
      <c r="X5" s="13" t="str">
        <f t="shared" ref="X5:X23" si="16">IF(OR(E5&lt;85,G5="yes"),"Needs attention","No Attantion")</f>
        <v>Needs attention</v>
      </c>
      <c r="Y5" s="13" t="str">
        <f t="shared" ref="Y5:Y23" si="17">IF(OR(D5&gt;120000,F5&gt;5),"Special Review","Common Review")</f>
        <v>Common Review</v>
      </c>
      <c r="Z5" s="13" t="str">
        <f t="shared" ref="Z5:Z23" si="18">IF(AND(D5&gt;=100000,OR(E5&gt;=90,F5&gt;=5)),"Excellent","poor")</f>
        <v>poor</v>
      </c>
      <c r="AA5" s="13" t="str">
        <f t="shared" si="0"/>
        <v>Not Sales Champion</v>
      </c>
      <c r="AB5" s="13" t="str">
        <f t="shared" ref="AB5:AB23" si="19">IF(AND(C5="HR","Finence",E5&gt;=90),"Admin Excellence ","Admin Poor")</f>
        <v>Admin Poor</v>
      </c>
      <c r="AC5" s="13" t="str">
        <f t="shared" ref="AC5:AC23" si="20">IF(AND(D5&gt;=100000,E5&gt;=90,F5&gt;=3),"Gold Employee","Silver Employee")</f>
        <v>Silver Employee</v>
      </c>
      <c r="AD5" s="13" t="str">
        <f t="shared" ref="AD5:AD23" si="21">IF(AND(G5="Yes",OR(D5&gt;=120000,F5&gt;=5)),"Future manager","Not elligible Manager")</f>
        <v>Not elligible Manager</v>
      </c>
    </row>
    <row r="6" spans="1:30" ht="16.8" x14ac:dyDescent="0.3">
      <c r="A6" s="12" t="s">
        <v>13</v>
      </c>
      <c r="B6" s="12" t="s">
        <v>14</v>
      </c>
      <c r="C6" s="12" t="s">
        <v>3</v>
      </c>
      <c r="D6" s="16">
        <v>150000</v>
      </c>
      <c r="E6" s="12">
        <v>88</v>
      </c>
      <c r="F6" s="12">
        <v>5</v>
      </c>
      <c r="G6" s="12" t="s">
        <v>8</v>
      </c>
      <c r="H6" s="13" t="str">
        <f t="shared" ref="H6:H23" si="22">IF(D6&gt;=100000,"Achived","Not Achived")</f>
        <v>Achived</v>
      </c>
      <c r="I6" s="13" t="str">
        <f t="shared" si="1"/>
        <v>Ireggular</v>
      </c>
      <c r="J6" s="13" t="str">
        <f t="shared" si="2"/>
        <v>Senior</v>
      </c>
      <c r="K6" s="13" t="str">
        <f t="shared" si="3"/>
        <v>Achived</v>
      </c>
      <c r="L6" s="13" t="str">
        <f t="shared" si="4"/>
        <v>Not Regular</v>
      </c>
      <c r="M6" s="13" t="str">
        <f t="shared" si="5"/>
        <v>Senior</v>
      </c>
      <c r="N6" s="13" t="str">
        <f t="shared" si="6"/>
        <v>Star Porformar</v>
      </c>
      <c r="O6" s="13" t="str">
        <f t="shared" si="7"/>
        <v>Revenue Team</v>
      </c>
      <c r="P6" s="14" t="str">
        <f t="shared" si="8"/>
        <v>Not Eligible</v>
      </c>
      <c r="Q6" s="14" t="str">
        <f t="shared" si="9"/>
        <v>Promotion eligible</v>
      </c>
      <c r="R6" s="14" t="str">
        <f t="shared" si="10"/>
        <v>Normal</v>
      </c>
      <c r="S6" s="13" t="str">
        <f t="shared" si="11"/>
        <v xml:space="preserve">Best Sales Person </v>
      </c>
      <c r="T6" s="13" t="str">
        <f t="shared" si="12"/>
        <v>Not Reliable Employee</v>
      </c>
      <c r="U6" s="13" t="str">
        <f t="shared" si="13"/>
        <v>High Value</v>
      </c>
      <c r="V6" s="13" t="str">
        <f t="shared" si="14"/>
        <v>Potential leader</v>
      </c>
      <c r="W6" s="13" t="str">
        <f t="shared" si="15"/>
        <v>Freshers</v>
      </c>
      <c r="X6" s="13" t="str">
        <f t="shared" si="16"/>
        <v>Needs attention</v>
      </c>
      <c r="Y6" s="13" t="str">
        <f t="shared" si="17"/>
        <v>Special Review</v>
      </c>
      <c r="Z6" s="13" t="str">
        <f t="shared" si="18"/>
        <v>Excellent</v>
      </c>
      <c r="AA6" s="13" t="str">
        <f t="shared" si="0"/>
        <v>Sales Champion</v>
      </c>
      <c r="AB6" s="13" t="str">
        <f t="shared" si="19"/>
        <v>Admin Poor</v>
      </c>
      <c r="AC6" s="13" t="str">
        <f t="shared" si="20"/>
        <v>Silver Employee</v>
      </c>
      <c r="AD6" s="13" t="str">
        <f t="shared" si="21"/>
        <v>Future manager</v>
      </c>
    </row>
    <row r="7" spans="1:30" ht="16.8" x14ac:dyDescent="0.3">
      <c r="A7" s="12" t="s">
        <v>15</v>
      </c>
      <c r="B7" s="12" t="s">
        <v>16</v>
      </c>
      <c r="C7" s="12" t="s">
        <v>17</v>
      </c>
      <c r="D7" s="16">
        <v>95000</v>
      </c>
      <c r="E7" s="12">
        <v>91</v>
      </c>
      <c r="F7" s="12">
        <v>3</v>
      </c>
      <c r="G7" s="12" t="s">
        <v>8</v>
      </c>
      <c r="H7" s="13" t="str">
        <f t="shared" si="22"/>
        <v>Not Achived</v>
      </c>
      <c r="I7" s="13" t="str">
        <f t="shared" si="1"/>
        <v>Reggular</v>
      </c>
      <c r="J7" s="13" t="str">
        <f t="shared" si="2"/>
        <v>Junior</v>
      </c>
      <c r="K7" s="13" t="str">
        <f t="shared" si="3"/>
        <v>Not Achived</v>
      </c>
      <c r="L7" s="13" t="str">
        <f t="shared" si="4"/>
        <v>Regular</v>
      </c>
      <c r="M7" s="13" t="str">
        <f t="shared" si="5"/>
        <v>Junior</v>
      </c>
      <c r="N7" s="13" t="str">
        <f t="shared" si="6"/>
        <v>Normal</v>
      </c>
      <c r="O7" s="13" t="str">
        <f t="shared" si="7"/>
        <v>Support Team</v>
      </c>
      <c r="P7" s="14" t="str">
        <f t="shared" si="8"/>
        <v>Not Eligible</v>
      </c>
      <c r="Q7" s="14" t="str">
        <f t="shared" si="9"/>
        <v>Promotion Not eligible</v>
      </c>
      <c r="R7" s="14" t="str">
        <f t="shared" si="10"/>
        <v>Normal</v>
      </c>
      <c r="S7" s="13" t="str">
        <f t="shared" si="11"/>
        <v>NotBestSalesPerson</v>
      </c>
      <c r="T7" s="13" t="str">
        <f t="shared" si="12"/>
        <v>Reliable Employee</v>
      </c>
      <c r="U7" s="13" t="str">
        <f t="shared" si="13"/>
        <v>Low Value</v>
      </c>
      <c r="V7" s="13" t="str">
        <f t="shared" si="14"/>
        <v>Potential leader</v>
      </c>
      <c r="W7" s="13" t="str">
        <f t="shared" si="15"/>
        <v>Back Office</v>
      </c>
      <c r="X7" s="13" t="str">
        <f t="shared" si="16"/>
        <v>Needs attention</v>
      </c>
      <c r="Y7" s="13" t="str">
        <f t="shared" si="17"/>
        <v>Common Review</v>
      </c>
      <c r="Z7" s="13" t="str">
        <f t="shared" si="18"/>
        <v>poor</v>
      </c>
      <c r="AA7" s="13" t="str">
        <f t="shared" si="0"/>
        <v>Not Sales Champion</v>
      </c>
      <c r="AB7" s="13" t="str">
        <f t="shared" si="19"/>
        <v xml:space="preserve">Admin Excellence </v>
      </c>
      <c r="AC7" s="13" t="str">
        <f t="shared" si="20"/>
        <v>Silver Employee</v>
      </c>
      <c r="AD7" s="13" t="str">
        <f t="shared" si="21"/>
        <v>Not elligible Manager</v>
      </c>
    </row>
    <row r="8" spans="1:30" ht="16.8" x14ac:dyDescent="0.3">
      <c r="A8" s="12" t="s">
        <v>18</v>
      </c>
      <c r="B8" s="12" t="s">
        <v>19</v>
      </c>
      <c r="C8" s="12" t="s">
        <v>20</v>
      </c>
      <c r="D8" s="16">
        <v>70000</v>
      </c>
      <c r="E8" s="12">
        <v>85</v>
      </c>
      <c r="F8" s="12">
        <v>1</v>
      </c>
      <c r="G8" s="12" t="s">
        <v>8</v>
      </c>
      <c r="H8" s="13" t="str">
        <f t="shared" si="22"/>
        <v>Not Achived</v>
      </c>
      <c r="I8" s="13" t="str">
        <f t="shared" si="1"/>
        <v>Ireggular</v>
      </c>
      <c r="J8" s="13" t="str">
        <f t="shared" si="2"/>
        <v>Junior</v>
      </c>
      <c r="K8" s="13" t="str">
        <f t="shared" si="3"/>
        <v>Not Achived</v>
      </c>
      <c r="L8" s="13" t="str">
        <f t="shared" si="4"/>
        <v>Not Regular</v>
      </c>
      <c r="M8" s="13" t="str">
        <f t="shared" si="5"/>
        <v>Junior</v>
      </c>
      <c r="N8" s="13" t="str">
        <f t="shared" si="6"/>
        <v>Normal</v>
      </c>
      <c r="O8" s="13" t="str">
        <f t="shared" si="7"/>
        <v>Support Team</v>
      </c>
      <c r="P8" s="14" t="str">
        <f t="shared" si="8"/>
        <v>Not Eligible</v>
      </c>
      <c r="Q8" s="14" t="str">
        <f t="shared" si="9"/>
        <v>Promotion Not eligible</v>
      </c>
      <c r="R8" s="14" t="str">
        <f t="shared" si="10"/>
        <v>Normal</v>
      </c>
      <c r="S8" s="13" t="str">
        <f t="shared" si="11"/>
        <v>NotBestSalesPerson</v>
      </c>
      <c r="T8" s="13" t="str">
        <f t="shared" si="12"/>
        <v>Not Reliable Employee</v>
      </c>
      <c r="U8" s="13" t="str">
        <f t="shared" si="13"/>
        <v>Low Value</v>
      </c>
      <c r="V8" s="13" t="str">
        <f t="shared" si="14"/>
        <v>Potential leader</v>
      </c>
      <c r="W8" s="13" t="str">
        <f t="shared" si="15"/>
        <v>Freshers</v>
      </c>
      <c r="X8" s="13" t="str">
        <f t="shared" si="16"/>
        <v>Needs attention</v>
      </c>
      <c r="Y8" s="13" t="str">
        <f t="shared" si="17"/>
        <v>Common Review</v>
      </c>
      <c r="Z8" s="13" t="str">
        <f t="shared" si="18"/>
        <v>poor</v>
      </c>
      <c r="AA8" s="13" t="str">
        <f t="shared" si="0"/>
        <v>Not Sales Champion</v>
      </c>
      <c r="AB8" s="13" t="str">
        <f t="shared" si="19"/>
        <v>Admin Poor</v>
      </c>
      <c r="AC8" s="13" t="str">
        <f t="shared" si="20"/>
        <v>Silver Employee</v>
      </c>
      <c r="AD8" s="13" t="str">
        <f t="shared" si="21"/>
        <v>Not elligible Manager</v>
      </c>
    </row>
    <row r="9" spans="1:30" ht="16.8" x14ac:dyDescent="0.3">
      <c r="A9" s="12" t="s">
        <v>21</v>
      </c>
      <c r="B9" s="12" t="s">
        <v>22</v>
      </c>
      <c r="C9" s="12" t="s">
        <v>3</v>
      </c>
      <c r="D9" s="16">
        <v>180000</v>
      </c>
      <c r="E9" s="12">
        <v>97</v>
      </c>
      <c r="F9" s="12">
        <v>6</v>
      </c>
      <c r="G9" s="12" t="s">
        <v>8</v>
      </c>
      <c r="H9" s="13" t="str">
        <f t="shared" si="22"/>
        <v>Achived</v>
      </c>
      <c r="I9" s="13" t="str">
        <f t="shared" si="1"/>
        <v>Reggular</v>
      </c>
      <c r="J9" s="13" t="str">
        <f t="shared" si="2"/>
        <v>Senior</v>
      </c>
      <c r="K9" s="13" t="str">
        <f t="shared" si="3"/>
        <v>Achived</v>
      </c>
      <c r="L9" s="13" t="str">
        <f t="shared" si="4"/>
        <v>Regular</v>
      </c>
      <c r="M9" s="13" t="str">
        <f t="shared" si="5"/>
        <v>Senior</v>
      </c>
      <c r="N9" s="13" t="str">
        <f t="shared" si="6"/>
        <v>Star Porformar</v>
      </c>
      <c r="O9" s="13" t="str">
        <f t="shared" si="7"/>
        <v>Revenue Team</v>
      </c>
      <c r="P9" s="14" t="str">
        <f t="shared" si="8"/>
        <v>Bonous Eligible</v>
      </c>
      <c r="Q9" s="14" t="str">
        <f t="shared" si="9"/>
        <v>Promotion eligible</v>
      </c>
      <c r="R9" s="14" t="str">
        <f t="shared" si="10"/>
        <v>Top Performer</v>
      </c>
      <c r="S9" s="13" t="str">
        <f t="shared" si="11"/>
        <v xml:space="preserve">Best Sales Person </v>
      </c>
      <c r="T9" s="13" t="str">
        <f t="shared" si="12"/>
        <v>Reliable Employee</v>
      </c>
      <c r="U9" s="13" t="str">
        <f t="shared" si="13"/>
        <v>High Value</v>
      </c>
      <c r="V9" s="13" t="str">
        <f t="shared" si="14"/>
        <v>Potential leader</v>
      </c>
      <c r="W9" s="13" t="str">
        <f t="shared" si="15"/>
        <v>Freshers</v>
      </c>
      <c r="X9" s="13" t="str">
        <f t="shared" si="16"/>
        <v>Needs attention</v>
      </c>
      <c r="Y9" s="13" t="str">
        <f t="shared" si="17"/>
        <v>Special Review</v>
      </c>
      <c r="Z9" s="13" t="str">
        <f t="shared" si="18"/>
        <v>Excellent</v>
      </c>
      <c r="AA9" s="13" t="str">
        <f t="shared" si="0"/>
        <v>Sales Champion</v>
      </c>
      <c r="AB9" s="13" t="str">
        <f t="shared" si="19"/>
        <v>Admin Poor</v>
      </c>
      <c r="AC9" s="13" t="str">
        <f t="shared" si="20"/>
        <v>Gold Employee</v>
      </c>
      <c r="AD9" s="13" t="str">
        <f t="shared" si="21"/>
        <v>Future manager</v>
      </c>
    </row>
    <row r="10" spans="1:30" ht="16.8" x14ac:dyDescent="0.3">
      <c r="A10" s="12" t="s">
        <v>23</v>
      </c>
      <c r="B10" s="12" t="s">
        <v>24</v>
      </c>
      <c r="C10" s="12" t="s">
        <v>11</v>
      </c>
      <c r="D10" s="16">
        <v>105000</v>
      </c>
      <c r="E10" s="12">
        <v>89</v>
      </c>
      <c r="F10" s="12">
        <v>4</v>
      </c>
      <c r="G10" s="12" t="s">
        <v>8</v>
      </c>
      <c r="H10" s="13" t="str">
        <f t="shared" si="22"/>
        <v>Achived</v>
      </c>
      <c r="I10" s="13" t="str">
        <f t="shared" si="1"/>
        <v>Ireggular</v>
      </c>
      <c r="J10" s="13" t="str">
        <f t="shared" si="2"/>
        <v>Junior</v>
      </c>
      <c r="K10" s="13" t="str">
        <f t="shared" si="3"/>
        <v>Achived</v>
      </c>
      <c r="L10" s="13" t="str">
        <f t="shared" si="4"/>
        <v>Not Regular</v>
      </c>
      <c r="M10" s="13" t="str">
        <f t="shared" si="5"/>
        <v>Junior</v>
      </c>
      <c r="N10" s="13" t="str">
        <f t="shared" si="6"/>
        <v>Normal</v>
      </c>
      <c r="O10" s="13" t="str">
        <f t="shared" si="7"/>
        <v>Support Team</v>
      </c>
      <c r="P10" s="14" t="str">
        <f t="shared" si="8"/>
        <v>Not Eligible</v>
      </c>
      <c r="Q10" s="14" t="str">
        <f t="shared" si="9"/>
        <v>Promotion Not eligible</v>
      </c>
      <c r="R10" s="14" t="str">
        <f t="shared" si="10"/>
        <v>Normal</v>
      </c>
      <c r="S10" s="13" t="str">
        <f t="shared" si="11"/>
        <v>NotBestSalesPerson</v>
      </c>
      <c r="T10" s="13" t="str">
        <f t="shared" si="12"/>
        <v>Not Reliable Employee</v>
      </c>
      <c r="U10" s="13" t="str">
        <f t="shared" si="13"/>
        <v>Low Value</v>
      </c>
      <c r="V10" s="13" t="str">
        <f t="shared" si="14"/>
        <v>Potential leader</v>
      </c>
      <c r="W10" s="13" t="str">
        <f t="shared" si="15"/>
        <v>Freshers</v>
      </c>
      <c r="X10" s="13" t="str">
        <f t="shared" si="16"/>
        <v>Needs attention</v>
      </c>
      <c r="Y10" s="13" t="str">
        <f t="shared" si="17"/>
        <v>Common Review</v>
      </c>
      <c r="Z10" s="13" t="str">
        <f t="shared" si="18"/>
        <v>poor</v>
      </c>
      <c r="AA10" s="13" t="str">
        <f t="shared" si="0"/>
        <v>Not Sales Champion</v>
      </c>
      <c r="AB10" s="13" t="str">
        <f t="shared" si="19"/>
        <v>Admin Poor</v>
      </c>
      <c r="AC10" s="13" t="str">
        <f t="shared" si="20"/>
        <v>Silver Employee</v>
      </c>
      <c r="AD10" s="13" t="str">
        <f t="shared" si="21"/>
        <v>Not elligible Manager</v>
      </c>
    </row>
    <row r="11" spans="1:30" ht="16.8" x14ac:dyDescent="0.3">
      <c r="A11" s="12" t="s">
        <v>25</v>
      </c>
      <c r="B11" s="12" t="s">
        <v>26</v>
      </c>
      <c r="C11" s="12" t="s">
        <v>17</v>
      </c>
      <c r="D11" s="16">
        <v>55000</v>
      </c>
      <c r="E11" s="12">
        <v>93</v>
      </c>
      <c r="F11" s="12">
        <v>2</v>
      </c>
      <c r="G11" s="12" t="s">
        <v>8</v>
      </c>
      <c r="H11" s="13" t="str">
        <f t="shared" si="22"/>
        <v>Not Achived</v>
      </c>
      <c r="I11" s="13" t="str">
        <f t="shared" si="1"/>
        <v>Reggular</v>
      </c>
      <c r="J11" s="13" t="str">
        <f t="shared" si="2"/>
        <v>Junior</v>
      </c>
      <c r="K11" s="13" t="str">
        <f t="shared" si="3"/>
        <v>Not Achived</v>
      </c>
      <c r="L11" s="13" t="str">
        <f t="shared" si="4"/>
        <v>Regular</v>
      </c>
      <c r="M11" s="13" t="str">
        <f t="shared" si="5"/>
        <v>Junior</v>
      </c>
      <c r="N11" s="13" t="str">
        <f t="shared" si="6"/>
        <v>Normal</v>
      </c>
      <c r="O11" s="13" t="str">
        <f t="shared" si="7"/>
        <v>Support Team</v>
      </c>
      <c r="P11" s="14" t="str">
        <f t="shared" si="8"/>
        <v>Not Eligible</v>
      </c>
      <c r="Q11" s="14" t="str">
        <f t="shared" si="9"/>
        <v>Promotion Not eligible</v>
      </c>
      <c r="R11" s="14" t="str">
        <f t="shared" si="10"/>
        <v>Normal</v>
      </c>
      <c r="S11" s="13" t="str">
        <f t="shared" si="11"/>
        <v>NotBestSalesPerson</v>
      </c>
      <c r="T11" s="13" t="str">
        <f t="shared" si="12"/>
        <v>Not Reliable Employee</v>
      </c>
      <c r="U11" s="13" t="str">
        <f t="shared" si="13"/>
        <v>Low Value</v>
      </c>
      <c r="V11" s="13" t="str">
        <f t="shared" si="14"/>
        <v>Potential leader</v>
      </c>
      <c r="W11" s="13" t="str">
        <f t="shared" si="15"/>
        <v>Back Office</v>
      </c>
      <c r="X11" s="13" t="str">
        <f t="shared" si="16"/>
        <v>Needs attention</v>
      </c>
      <c r="Y11" s="13" t="str">
        <f t="shared" si="17"/>
        <v>Common Review</v>
      </c>
      <c r="Z11" s="13" t="str">
        <f t="shared" si="18"/>
        <v>poor</v>
      </c>
      <c r="AA11" s="13" t="str">
        <f t="shared" si="0"/>
        <v>Not Sales Champion</v>
      </c>
      <c r="AB11" s="13" t="str">
        <f t="shared" si="19"/>
        <v xml:space="preserve">Admin Excellence </v>
      </c>
      <c r="AC11" s="13" t="str">
        <f t="shared" si="20"/>
        <v>Silver Employee</v>
      </c>
      <c r="AD11" s="13" t="str">
        <f t="shared" si="21"/>
        <v>Not elligible Manager</v>
      </c>
    </row>
    <row r="12" spans="1:30" ht="16.8" x14ac:dyDescent="0.3">
      <c r="A12" s="12" t="s">
        <v>27</v>
      </c>
      <c r="B12" s="12" t="s">
        <v>28</v>
      </c>
      <c r="C12" s="12" t="s">
        <v>3</v>
      </c>
      <c r="D12" s="16">
        <v>135000</v>
      </c>
      <c r="E12" s="12">
        <v>96</v>
      </c>
      <c r="F12" s="12">
        <v>5</v>
      </c>
      <c r="G12" s="12" t="s">
        <v>8</v>
      </c>
      <c r="H12" s="13" t="str">
        <f t="shared" si="22"/>
        <v>Achived</v>
      </c>
      <c r="I12" s="13" t="str">
        <f t="shared" si="1"/>
        <v>Reggular</v>
      </c>
      <c r="J12" s="13" t="str">
        <f t="shared" si="2"/>
        <v>Senior</v>
      </c>
      <c r="K12" s="13" t="str">
        <f t="shared" si="3"/>
        <v>Achived</v>
      </c>
      <c r="L12" s="13" t="str">
        <f t="shared" si="4"/>
        <v>Regular</v>
      </c>
      <c r="M12" s="13" t="str">
        <f t="shared" si="5"/>
        <v>Senior</v>
      </c>
      <c r="N12" s="13" t="str">
        <f t="shared" si="6"/>
        <v>Normal</v>
      </c>
      <c r="O12" s="13" t="str">
        <f t="shared" si="7"/>
        <v>Revenue Team</v>
      </c>
      <c r="P12" s="14" t="str">
        <f t="shared" si="8"/>
        <v>Bonous Eligible</v>
      </c>
      <c r="Q12" s="14" t="str">
        <f t="shared" si="9"/>
        <v>Promotion eligible</v>
      </c>
      <c r="R12" s="14" t="str">
        <f t="shared" si="10"/>
        <v>Normal</v>
      </c>
      <c r="S12" s="13" t="str">
        <f t="shared" si="11"/>
        <v xml:space="preserve">Best Sales Person </v>
      </c>
      <c r="T12" s="13" t="str">
        <f t="shared" si="12"/>
        <v>Reliable Employee</v>
      </c>
      <c r="U12" s="13" t="str">
        <f t="shared" si="13"/>
        <v>High Value</v>
      </c>
      <c r="V12" s="13" t="str">
        <f t="shared" si="14"/>
        <v>Potential leader</v>
      </c>
      <c r="W12" s="13" t="str">
        <f t="shared" si="15"/>
        <v>Freshers</v>
      </c>
      <c r="X12" s="13" t="str">
        <f t="shared" si="16"/>
        <v>Needs attention</v>
      </c>
      <c r="Y12" s="13" t="str">
        <f t="shared" si="17"/>
        <v>Special Review</v>
      </c>
      <c r="Z12" s="13" t="str">
        <f t="shared" si="18"/>
        <v>Excellent</v>
      </c>
      <c r="AA12" s="13" t="str">
        <f t="shared" si="0"/>
        <v>Not Sales Champion</v>
      </c>
      <c r="AB12" s="13" t="str">
        <f t="shared" si="19"/>
        <v>Admin Poor</v>
      </c>
      <c r="AC12" s="13" t="str">
        <f t="shared" si="20"/>
        <v>Gold Employee</v>
      </c>
      <c r="AD12" s="13" t="str">
        <f t="shared" si="21"/>
        <v>Future manager</v>
      </c>
    </row>
    <row r="13" spans="1:30" ht="16.8" x14ac:dyDescent="0.3">
      <c r="A13" s="12" t="s">
        <v>29</v>
      </c>
      <c r="B13" s="12" t="s">
        <v>30</v>
      </c>
      <c r="C13" s="12" t="s">
        <v>20</v>
      </c>
      <c r="D13" s="16">
        <v>90000</v>
      </c>
      <c r="E13" s="12">
        <v>87</v>
      </c>
      <c r="F13" s="12">
        <v>3</v>
      </c>
      <c r="G13" s="12" t="s">
        <v>12</v>
      </c>
      <c r="H13" s="13" t="str">
        <f t="shared" si="22"/>
        <v>Not Achived</v>
      </c>
      <c r="I13" s="13" t="str">
        <f t="shared" si="1"/>
        <v>Ireggular</v>
      </c>
      <c r="J13" s="13" t="str">
        <f t="shared" si="2"/>
        <v>Junior</v>
      </c>
      <c r="K13" s="13" t="str">
        <f t="shared" si="3"/>
        <v>Not Achived</v>
      </c>
      <c r="L13" s="13" t="str">
        <f t="shared" si="4"/>
        <v>Not Regular</v>
      </c>
      <c r="M13" s="13" t="str">
        <f t="shared" si="5"/>
        <v>Junior</v>
      </c>
      <c r="N13" s="13" t="str">
        <f t="shared" si="6"/>
        <v>Normal</v>
      </c>
      <c r="O13" s="13" t="str">
        <f t="shared" si="7"/>
        <v>Support Team</v>
      </c>
      <c r="P13" s="14" t="str">
        <f t="shared" si="8"/>
        <v>Not Eligible</v>
      </c>
      <c r="Q13" s="14" t="str">
        <f t="shared" si="9"/>
        <v>Promotion Not eligible</v>
      </c>
      <c r="R13" s="14" t="str">
        <f t="shared" si="10"/>
        <v>Normal</v>
      </c>
      <c r="S13" s="13" t="str">
        <f t="shared" si="11"/>
        <v>NotBestSalesPerson</v>
      </c>
      <c r="T13" s="13" t="str">
        <f t="shared" si="12"/>
        <v>Not Reliable Employee</v>
      </c>
      <c r="U13" s="13" t="str">
        <f t="shared" si="13"/>
        <v>Low Value</v>
      </c>
      <c r="V13" s="13" t="str">
        <f t="shared" si="14"/>
        <v>not Potential Leader</v>
      </c>
      <c r="W13" s="13" t="str">
        <f t="shared" si="15"/>
        <v>Freshers</v>
      </c>
      <c r="X13" s="13" t="str">
        <f t="shared" si="16"/>
        <v>No Attantion</v>
      </c>
      <c r="Y13" s="13" t="str">
        <f t="shared" si="17"/>
        <v>Common Review</v>
      </c>
      <c r="Z13" s="13" t="str">
        <f t="shared" si="18"/>
        <v>poor</v>
      </c>
      <c r="AA13" s="13" t="str">
        <f t="shared" si="0"/>
        <v>Not Sales Champion</v>
      </c>
      <c r="AB13" s="13" t="str">
        <f t="shared" si="19"/>
        <v>Admin Poor</v>
      </c>
      <c r="AC13" s="13" t="str">
        <f t="shared" si="20"/>
        <v>Silver Employee</v>
      </c>
      <c r="AD13" s="13" t="str">
        <f t="shared" si="21"/>
        <v>Not elligible Manager</v>
      </c>
    </row>
    <row r="14" spans="1:30" ht="16.8" x14ac:dyDescent="0.3">
      <c r="A14" s="12" t="s">
        <v>31</v>
      </c>
      <c r="B14" s="12" t="s">
        <v>32</v>
      </c>
      <c r="C14" s="12" t="s">
        <v>3</v>
      </c>
      <c r="D14" s="16">
        <v>160000</v>
      </c>
      <c r="E14" s="12">
        <v>94</v>
      </c>
      <c r="F14" s="12">
        <v>7</v>
      </c>
      <c r="G14" s="12" t="s">
        <v>8</v>
      </c>
      <c r="H14" s="13" t="str">
        <f t="shared" si="22"/>
        <v>Achived</v>
      </c>
      <c r="I14" s="13" t="str">
        <f t="shared" si="1"/>
        <v>Reggular</v>
      </c>
      <c r="J14" s="13" t="str">
        <f t="shared" si="2"/>
        <v>Senior</v>
      </c>
      <c r="K14" s="13" t="str">
        <f t="shared" si="3"/>
        <v>Achived</v>
      </c>
      <c r="L14" s="13" t="str">
        <f t="shared" si="4"/>
        <v>Regular</v>
      </c>
      <c r="M14" s="13" t="str">
        <f t="shared" si="5"/>
        <v>Senior</v>
      </c>
      <c r="N14" s="13" t="str">
        <f t="shared" si="6"/>
        <v>Star Porformar</v>
      </c>
      <c r="O14" s="13" t="str">
        <f t="shared" si="7"/>
        <v>Revenue Team</v>
      </c>
      <c r="P14" s="14" t="str">
        <f t="shared" si="8"/>
        <v>Bonous Eligible</v>
      </c>
      <c r="Q14" s="14" t="str">
        <f t="shared" si="9"/>
        <v>Promotion eligible</v>
      </c>
      <c r="R14" s="14" t="str">
        <f t="shared" si="10"/>
        <v>Top Performer</v>
      </c>
      <c r="S14" s="13" t="str">
        <f t="shared" si="11"/>
        <v xml:space="preserve">Best Sales Person </v>
      </c>
      <c r="T14" s="13" t="str">
        <f t="shared" si="12"/>
        <v>Reliable Employee</v>
      </c>
      <c r="U14" s="13" t="str">
        <f t="shared" si="13"/>
        <v>High Value</v>
      </c>
      <c r="V14" s="13" t="str">
        <f t="shared" si="14"/>
        <v>Potential leader</v>
      </c>
      <c r="W14" s="13" t="str">
        <f t="shared" si="15"/>
        <v>Freshers</v>
      </c>
      <c r="X14" s="13" t="str">
        <f t="shared" si="16"/>
        <v>Needs attention</v>
      </c>
      <c r="Y14" s="13" t="str">
        <f t="shared" si="17"/>
        <v>Special Review</v>
      </c>
      <c r="Z14" s="13" t="str">
        <f t="shared" si="18"/>
        <v>Excellent</v>
      </c>
      <c r="AA14" s="13" t="str">
        <f t="shared" si="0"/>
        <v>Sales Champion</v>
      </c>
      <c r="AB14" s="13" t="str">
        <f t="shared" si="19"/>
        <v>Admin Poor</v>
      </c>
      <c r="AC14" s="13" t="str">
        <f t="shared" si="20"/>
        <v>Gold Employee</v>
      </c>
      <c r="AD14" s="13" t="str">
        <f t="shared" si="21"/>
        <v>Future manager</v>
      </c>
    </row>
    <row r="15" spans="1:30" ht="16.8" x14ac:dyDescent="0.3">
      <c r="A15" s="12" t="s">
        <v>33</v>
      </c>
      <c r="B15" s="12" t="s">
        <v>34</v>
      </c>
      <c r="C15" s="12" t="s">
        <v>17</v>
      </c>
      <c r="D15" s="16">
        <v>75000</v>
      </c>
      <c r="E15" s="12">
        <v>90</v>
      </c>
      <c r="F15" s="12">
        <v>1</v>
      </c>
      <c r="G15" s="12" t="s">
        <v>12</v>
      </c>
      <c r="H15" s="13" t="str">
        <f t="shared" si="22"/>
        <v>Not Achived</v>
      </c>
      <c r="I15" s="13" t="str">
        <f t="shared" si="1"/>
        <v>Reggular</v>
      </c>
      <c r="J15" s="13" t="str">
        <f t="shared" si="2"/>
        <v>Junior</v>
      </c>
      <c r="K15" s="13" t="str">
        <f t="shared" si="3"/>
        <v>Not Achived</v>
      </c>
      <c r="L15" s="13" t="str">
        <f t="shared" si="4"/>
        <v>Regular</v>
      </c>
      <c r="M15" s="13" t="str">
        <f t="shared" si="5"/>
        <v>Junior</v>
      </c>
      <c r="N15" s="13" t="str">
        <f t="shared" si="6"/>
        <v>Normal</v>
      </c>
      <c r="O15" s="13" t="str">
        <f t="shared" si="7"/>
        <v>Support Team</v>
      </c>
      <c r="P15" s="14" t="str">
        <f t="shared" si="8"/>
        <v>Not Eligible</v>
      </c>
      <c r="Q15" s="14" t="str">
        <f t="shared" si="9"/>
        <v>Promotion Not eligible</v>
      </c>
      <c r="R15" s="14" t="str">
        <f t="shared" si="10"/>
        <v>Normal</v>
      </c>
      <c r="S15" s="13" t="str">
        <f t="shared" si="11"/>
        <v>NotBestSalesPerson</v>
      </c>
      <c r="T15" s="13" t="str">
        <f t="shared" si="12"/>
        <v>Not Reliable Employee</v>
      </c>
      <c r="U15" s="13" t="str">
        <f t="shared" si="13"/>
        <v>Low Value</v>
      </c>
      <c r="V15" s="13" t="str">
        <f t="shared" si="14"/>
        <v>not Potential Leader</v>
      </c>
      <c r="W15" s="13" t="str">
        <f t="shared" si="15"/>
        <v>Back Office</v>
      </c>
      <c r="X15" s="13" t="str">
        <f t="shared" si="16"/>
        <v>No Attantion</v>
      </c>
      <c r="Y15" s="13" t="str">
        <f t="shared" si="17"/>
        <v>Common Review</v>
      </c>
      <c r="Z15" s="13" t="str">
        <f t="shared" si="18"/>
        <v>poor</v>
      </c>
      <c r="AA15" s="13" t="str">
        <f t="shared" si="0"/>
        <v>Not Sales Champion</v>
      </c>
      <c r="AB15" s="13" t="str">
        <f t="shared" si="19"/>
        <v xml:space="preserve">Admin Excellence </v>
      </c>
      <c r="AC15" s="13" t="str">
        <f t="shared" si="20"/>
        <v>Silver Employee</v>
      </c>
      <c r="AD15" s="13" t="str">
        <f t="shared" si="21"/>
        <v>Not elligible Manager</v>
      </c>
    </row>
    <row r="16" spans="1:30" ht="16.8" x14ac:dyDescent="0.3">
      <c r="A16" s="12" t="s">
        <v>35</v>
      </c>
      <c r="B16" s="12" t="s">
        <v>36</v>
      </c>
      <c r="C16" s="12" t="s">
        <v>11</v>
      </c>
      <c r="D16" s="16">
        <v>140000</v>
      </c>
      <c r="E16" s="12">
        <v>92</v>
      </c>
      <c r="F16" s="12">
        <v>5</v>
      </c>
      <c r="G16" s="12" t="s">
        <v>8</v>
      </c>
      <c r="H16" s="13" t="str">
        <f t="shared" si="22"/>
        <v>Achived</v>
      </c>
      <c r="I16" s="13" t="str">
        <f t="shared" si="1"/>
        <v>Reggular</v>
      </c>
      <c r="J16" s="13" t="str">
        <f t="shared" si="2"/>
        <v>Senior</v>
      </c>
      <c r="K16" s="13" t="str">
        <f t="shared" si="3"/>
        <v>Achived</v>
      </c>
      <c r="L16" s="13" t="str">
        <f t="shared" si="4"/>
        <v>Regular</v>
      </c>
      <c r="M16" s="13" t="str">
        <f t="shared" si="5"/>
        <v>Senior</v>
      </c>
      <c r="N16" s="13" t="str">
        <f t="shared" si="6"/>
        <v>Normal</v>
      </c>
      <c r="O16" s="13" t="str">
        <f t="shared" si="7"/>
        <v>Support Team</v>
      </c>
      <c r="P16" s="14" t="str">
        <f t="shared" si="8"/>
        <v>Bonous Eligible</v>
      </c>
      <c r="Q16" s="14" t="str">
        <f t="shared" si="9"/>
        <v>Promotion eligible</v>
      </c>
      <c r="R16" s="14" t="str">
        <f t="shared" si="10"/>
        <v>Normal</v>
      </c>
      <c r="S16" s="13" t="str">
        <f t="shared" si="11"/>
        <v>NotBestSalesPerson</v>
      </c>
      <c r="T16" s="13" t="str">
        <f t="shared" si="12"/>
        <v>Reliable Employee</v>
      </c>
      <c r="U16" s="13" t="str">
        <f t="shared" si="13"/>
        <v>Low Value</v>
      </c>
      <c r="V16" s="13" t="str">
        <f t="shared" si="14"/>
        <v>Potential leader</v>
      </c>
      <c r="W16" s="13" t="str">
        <f t="shared" si="15"/>
        <v>Freshers</v>
      </c>
      <c r="X16" s="13" t="str">
        <f t="shared" si="16"/>
        <v>Needs attention</v>
      </c>
      <c r="Y16" s="13" t="str">
        <f t="shared" si="17"/>
        <v>Special Review</v>
      </c>
      <c r="Z16" s="13" t="str">
        <f t="shared" si="18"/>
        <v>Excellent</v>
      </c>
      <c r="AA16" s="13" t="str">
        <f t="shared" si="0"/>
        <v>Not Sales Champion</v>
      </c>
      <c r="AB16" s="13" t="str">
        <f t="shared" si="19"/>
        <v>Admin Poor</v>
      </c>
      <c r="AC16" s="13" t="str">
        <f t="shared" si="20"/>
        <v>Gold Employee</v>
      </c>
      <c r="AD16" s="13" t="str">
        <f t="shared" si="21"/>
        <v>Future manager</v>
      </c>
    </row>
    <row r="17" spans="1:30" ht="16.8" x14ac:dyDescent="0.3">
      <c r="A17" s="12" t="s">
        <v>37</v>
      </c>
      <c r="B17" s="12" t="s">
        <v>38</v>
      </c>
      <c r="C17" s="12" t="s">
        <v>20</v>
      </c>
      <c r="D17" s="16">
        <v>85000</v>
      </c>
      <c r="E17" s="12">
        <v>88</v>
      </c>
      <c r="F17" s="12">
        <v>2</v>
      </c>
      <c r="G17" s="12" t="s">
        <v>8</v>
      </c>
      <c r="H17" s="13" t="str">
        <f t="shared" si="22"/>
        <v>Not Achived</v>
      </c>
      <c r="I17" s="13" t="str">
        <f t="shared" si="1"/>
        <v>Ireggular</v>
      </c>
      <c r="J17" s="13" t="str">
        <f t="shared" si="2"/>
        <v>Junior</v>
      </c>
      <c r="K17" s="13" t="str">
        <f t="shared" si="3"/>
        <v>Not Achived</v>
      </c>
      <c r="L17" s="13" t="str">
        <f t="shared" si="4"/>
        <v>Not Regular</v>
      </c>
      <c r="M17" s="13" t="str">
        <f t="shared" si="5"/>
        <v>Junior</v>
      </c>
      <c r="N17" s="13" t="str">
        <f t="shared" si="6"/>
        <v>Normal</v>
      </c>
      <c r="O17" s="13" t="str">
        <f t="shared" si="7"/>
        <v>Support Team</v>
      </c>
      <c r="P17" s="14" t="str">
        <f t="shared" si="8"/>
        <v>Not Eligible</v>
      </c>
      <c r="Q17" s="14" t="str">
        <f t="shared" si="9"/>
        <v>Promotion Not eligible</v>
      </c>
      <c r="R17" s="14" t="str">
        <f t="shared" si="10"/>
        <v>Normal</v>
      </c>
      <c r="S17" s="13" t="str">
        <f t="shared" si="11"/>
        <v>NotBestSalesPerson</v>
      </c>
      <c r="T17" s="13" t="str">
        <f t="shared" si="12"/>
        <v>Not Reliable Employee</v>
      </c>
      <c r="U17" s="13" t="str">
        <f t="shared" si="13"/>
        <v>Low Value</v>
      </c>
      <c r="V17" s="13" t="str">
        <f t="shared" si="14"/>
        <v>Potential leader</v>
      </c>
      <c r="W17" s="13" t="str">
        <f t="shared" si="15"/>
        <v>Freshers</v>
      </c>
      <c r="X17" s="13" t="str">
        <f t="shared" si="16"/>
        <v>Needs attention</v>
      </c>
      <c r="Y17" s="13" t="str">
        <f t="shared" si="17"/>
        <v>Common Review</v>
      </c>
      <c r="Z17" s="13" t="str">
        <f t="shared" si="18"/>
        <v>poor</v>
      </c>
      <c r="AA17" s="13" t="str">
        <f t="shared" si="0"/>
        <v>Not Sales Champion</v>
      </c>
      <c r="AB17" s="13" t="str">
        <f t="shared" si="19"/>
        <v>Admin Poor</v>
      </c>
      <c r="AC17" s="13" t="str">
        <f t="shared" si="20"/>
        <v>Silver Employee</v>
      </c>
      <c r="AD17" s="13" t="str">
        <f t="shared" si="21"/>
        <v>Not elligible Manager</v>
      </c>
    </row>
    <row r="18" spans="1:30" ht="16.8" x14ac:dyDescent="0.3">
      <c r="A18" s="12" t="s">
        <v>39</v>
      </c>
      <c r="B18" s="12" t="s">
        <v>40</v>
      </c>
      <c r="C18" s="12" t="s">
        <v>3</v>
      </c>
      <c r="D18" s="16">
        <v>200000</v>
      </c>
      <c r="E18" s="12">
        <v>99</v>
      </c>
      <c r="F18" s="12">
        <v>8</v>
      </c>
      <c r="G18" s="12" t="s">
        <v>8</v>
      </c>
      <c r="H18" s="13" t="str">
        <f t="shared" si="22"/>
        <v>Achived</v>
      </c>
      <c r="I18" s="13" t="str">
        <f t="shared" si="1"/>
        <v>Reggular</v>
      </c>
      <c r="J18" s="13" t="str">
        <f t="shared" si="2"/>
        <v>Senior</v>
      </c>
      <c r="K18" s="13" t="str">
        <f t="shared" si="3"/>
        <v>Achived</v>
      </c>
      <c r="L18" s="13" t="str">
        <f t="shared" si="4"/>
        <v>Regular</v>
      </c>
      <c r="M18" s="13" t="str">
        <f t="shared" si="5"/>
        <v>Senior</v>
      </c>
      <c r="N18" s="13" t="str">
        <f t="shared" si="6"/>
        <v>Star Porformar</v>
      </c>
      <c r="O18" s="13" t="str">
        <f t="shared" si="7"/>
        <v>Revenue Team</v>
      </c>
      <c r="P18" s="14" t="str">
        <f t="shared" si="8"/>
        <v>Bonous Eligible</v>
      </c>
      <c r="Q18" s="14" t="str">
        <f t="shared" si="9"/>
        <v>Promotion eligible</v>
      </c>
      <c r="R18" s="14" t="str">
        <f t="shared" si="10"/>
        <v>Top Performer</v>
      </c>
      <c r="S18" s="13" t="str">
        <f t="shared" si="11"/>
        <v xml:space="preserve">Best Sales Person </v>
      </c>
      <c r="T18" s="13" t="str">
        <f t="shared" si="12"/>
        <v>Reliable Employee</v>
      </c>
      <c r="U18" s="13" t="str">
        <f t="shared" si="13"/>
        <v>High Value</v>
      </c>
      <c r="V18" s="13" t="str">
        <f t="shared" si="14"/>
        <v>Potential leader</v>
      </c>
      <c r="W18" s="13" t="str">
        <f t="shared" si="15"/>
        <v>Freshers</v>
      </c>
      <c r="X18" s="13" t="str">
        <f t="shared" si="16"/>
        <v>Needs attention</v>
      </c>
      <c r="Y18" s="13" t="str">
        <f t="shared" si="17"/>
        <v>Special Review</v>
      </c>
      <c r="Z18" s="13" t="str">
        <f t="shared" si="18"/>
        <v>Excellent</v>
      </c>
      <c r="AA18" s="13" t="str">
        <f t="shared" si="0"/>
        <v>Sales Champion</v>
      </c>
      <c r="AB18" s="13" t="str">
        <f t="shared" si="19"/>
        <v>Admin Poor</v>
      </c>
      <c r="AC18" s="13" t="str">
        <f t="shared" si="20"/>
        <v>Gold Employee</v>
      </c>
      <c r="AD18" s="13" t="str">
        <f t="shared" si="21"/>
        <v>Future manager</v>
      </c>
    </row>
    <row r="19" spans="1:30" ht="16.8" x14ac:dyDescent="0.3">
      <c r="A19" s="12" t="s">
        <v>41</v>
      </c>
      <c r="B19" s="12" t="s">
        <v>42</v>
      </c>
      <c r="C19" s="12" t="s">
        <v>17</v>
      </c>
      <c r="D19" s="16">
        <v>65000</v>
      </c>
      <c r="E19" s="12">
        <v>82</v>
      </c>
      <c r="F19" s="12">
        <v>1</v>
      </c>
      <c r="G19" s="12" t="s">
        <v>12</v>
      </c>
      <c r="H19" s="13" t="str">
        <f t="shared" si="22"/>
        <v>Not Achived</v>
      </c>
      <c r="I19" s="13" t="str">
        <f t="shared" si="1"/>
        <v>Ireggular</v>
      </c>
      <c r="J19" s="13" t="str">
        <f t="shared" si="2"/>
        <v>Junior</v>
      </c>
      <c r="K19" s="13" t="str">
        <f t="shared" si="3"/>
        <v>Not Achived</v>
      </c>
      <c r="L19" s="13" t="str">
        <f t="shared" si="4"/>
        <v>Not Regular</v>
      </c>
      <c r="M19" s="13" t="str">
        <f t="shared" si="5"/>
        <v>Junior</v>
      </c>
      <c r="N19" s="13" t="str">
        <f t="shared" si="6"/>
        <v>Normal</v>
      </c>
      <c r="O19" s="13" t="str">
        <f t="shared" si="7"/>
        <v>Support Team</v>
      </c>
      <c r="P19" s="14" t="str">
        <f t="shared" si="8"/>
        <v>Not Eligible</v>
      </c>
      <c r="Q19" s="14" t="str">
        <f t="shared" si="9"/>
        <v>Promotion Not eligible</v>
      </c>
      <c r="R19" s="14" t="str">
        <f t="shared" si="10"/>
        <v>Normal</v>
      </c>
      <c r="S19" s="13" t="str">
        <f t="shared" si="11"/>
        <v>NotBestSalesPerson</v>
      </c>
      <c r="T19" s="13" t="str">
        <f t="shared" si="12"/>
        <v>Not Reliable Employee</v>
      </c>
      <c r="U19" s="13" t="str">
        <f t="shared" si="13"/>
        <v>Low Value</v>
      </c>
      <c r="V19" s="13" t="str">
        <f t="shared" si="14"/>
        <v>not Potential Leader</v>
      </c>
      <c r="W19" s="13" t="str">
        <f t="shared" si="15"/>
        <v>Back Office</v>
      </c>
      <c r="X19" s="13" t="str">
        <f t="shared" si="16"/>
        <v>Needs attention</v>
      </c>
      <c r="Y19" s="13" t="str">
        <f t="shared" si="17"/>
        <v>Common Review</v>
      </c>
      <c r="Z19" s="13" t="str">
        <f t="shared" si="18"/>
        <v>poor</v>
      </c>
      <c r="AA19" s="13" t="str">
        <f t="shared" si="0"/>
        <v>Not Sales Champion</v>
      </c>
      <c r="AB19" s="13" t="str">
        <f t="shared" si="19"/>
        <v>Admin Poor</v>
      </c>
      <c r="AC19" s="13" t="str">
        <f t="shared" si="20"/>
        <v>Silver Employee</v>
      </c>
      <c r="AD19" s="13" t="str">
        <f t="shared" si="21"/>
        <v>Not elligible Manager</v>
      </c>
    </row>
    <row r="20" spans="1:30" ht="16.8" x14ac:dyDescent="0.3">
      <c r="A20" s="12" t="s">
        <v>43</v>
      </c>
      <c r="B20" s="12" t="s">
        <v>44</v>
      </c>
      <c r="C20" s="12" t="s">
        <v>11</v>
      </c>
      <c r="D20" s="16">
        <v>115000</v>
      </c>
      <c r="E20" s="12">
        <v>91</v>
      </c>
      <c r="F20" s="12">
        <v>4</v>
      </c>
      <c r="G20" s="12" t="s">
        <v>8</v>
      </c>
      <c r="H20" s="13" t="str">
        <f t="shared" si="22"/>
        <v>Achived</v>
      </c>
      <c r="I20" s="13" t="str">
        <f t="shared" si="1"/>
        <v>Reggular</v>
      </c>
      <c r="J20" s="13" t="str">
        <f t="shared" si="2"/>
        <v>Junior</v>
      </c>
      <c r="K20" s="13" t="str">
        <f t="shared" si="3"/>
        <v>Achived</v>
      </c>
      <c r="L20" s="13" t="str">
        <f t="shared" si="4"/>
        <v>Regular</v>
      </c>
      <c r="M20" s="13" t="str">
        <f t="shared" si="5"/>
        <v>Junior</v>
      </c>
      <c r="N20" s="13" t="str">
        <f t="shared" si="6"/>
        <v>Normal</v>
      </c>
      <c r="O20" s="13" t="str">
        <f t="shared" si="7"/>
        <v>Support Team</v>
      </c>
      <c r="P20" s="14" t="str">
        <f t="shared" si="8"/>
        <v>Bonous Eligible</v>
      </c>
      <c r="Q20" s="14" t="str">
        <f t="shared" si="9"/>
        <v>Promotion Not eligible</v>
      </c>
      <c r="R20" s="14" t="str">
        <f t="shared" si="10"/>
        <v>Normal</v>
      </c>
      <c r="S20" s="13" t="str">
        <f t="shared" si="11"/>
        <v>NotBestSalesPerson</v>
      </c>
      <c r="T20" s="13" t="str">
        <f t="shared" si="12"/>
        <v>Reliable Employee</v>
      </c>
      <c r="U20" s="13" t="str">
        <f t="shared" si="13"/>
        <v>Low Value</v>
      </c>
      <c r="V20" s="13" t="str">
        <f t="shared" si="14"/>
        <v>Potential leader</v>
      </c>
      <c r="W20" s="13" t="str">
        <f t="shared" si="15"/>
        <v>Freshers</v>
      </c>
      <c r="X20" s="13" t="str">
        <f t="shared" si="16"/>
        <v>Needs attention</v>
      </c>
      <c r="Y20" s="13" t="str">
        <f t="shared" si="17"/>
        <v>Common Review</v>
      </c>
      <c r="Z20" s="13" t="str">
        <f t="shared" si="18"/>
        <v>Excellent</v>
      </c>
      <c r="AA20" s="13" t="str">
        <f t="shared" si="0"/>
        <v>Not Sales Champion</v>
      </c>
      <c r="AB20" s="13" t="str">
        <f t="shared" si="19"/>
        <v>Admin Poor</v>
      </c>
      <c r="AC20" s="13" t="str">
        <f t="shared" si="20"/>
        <v>Gold Employee</v>
      </c>
      <c r="AD20" s="13" t="str">
        <f t="shared" si="21"/>
        <v>Not elligible Manager</v>
      </c>
    </row>
    <row r="21" spans="1:30" ht="16.8" x14ac:dyDescent="0.3">
      <c r="A21" s="12" t="s">
        <v>45</v>
      </c>
      <c r="B21" s="12" t="s">
        <v>46</v>
      </c>
      <c r="C21" s="12" t="s">
        <v>20</v>
      </c>
      <c r="D21" s="16">
        <v>98000</v>
      </c>
      <c r="E21" s="12">
        <v>89</v>
      </c>
      <c r="F21" s="12">
        <v>3</v>
      </c>
      <c r="G21" s="12" t="s">
        <v>12</v>
      </c>
      <c r="H21" s="13" t="str">
        <f t="shared" si="22"/>
        <v>Not Achived</v>
      </c>
      <c r="I21" s="13" t="str">
        <f t="shared" si="1"/>
        <v>Ireggular</v>
      </c>
      <c r="J21" s="13" t="str">
        <f t="shared" si="2"/>
        <v>Junior</v>
      </c>
      <c r="K21" s="13" t="str">
        <f t="shared" si="3"/>
        <v>Not Achived</v>
      </c>
      <c r="L21" s="13" t="str">
        <f t="shared" si="4"/>
        <v>Not Regular</v>
      </c>
      <c r="M21" s="13" t="str">
        <f t="shared" si="5"/>
        <v>Junior</v>
      </c>
      <c r="N21" s="13" t="str">
        <f t="shared" si="6"/>
        <v>Normal</v>
      </c>
      <c r="O21" s="13" t="str">
        <f t="shared" si="7"/>
        <v>Support Team</v>
      </c>
      <c r="P21" s="14" t="str">
        <f t="shared" si="8"/>
        <v>Not Eligible</v>
      </c>
      <c r="Q21" s="14" t="str">
        <f t="shared" si="9"/>
        <v>Promotion Not eligible</v>
      </c>
      <c r="R21" s="14" t="str">
        <f t="shared" si="10"/>
        <v>Normal</v>
      </c>
      <c r="S21" s="13" t="str">
        <f t="shared" si="11"/>
        <v>NotBestSalesPerson</v>
      </c>
      <c r="T21" s="13" t="str">
        <f t="shared" si="12"/>
        <v>Not Reliable Employee</v>
      </c>
      <c r="U21" s="13" t="str">
        <f t="shared" si="13"/>
        <v>Low Value</v>
      </c>
      <c r="V21" s="13" t="str">
        <f t="shared" si="14"/>
        <v>not Potential Leader</v>
      </c>
      <c r="W21" s="13" t="str">
        <f t="shared" si="15"/>
        <v>Freshers</v>
      </c>
      <c r="X21" s="13" t="str">
        <f t="shared" si="16"/>
        <v>No Attantion</v>
      </c>
      <c r="Y21" s="13" t="str">
        <f t="shared" si="17"/>
        <v>Common Review</v>
      </c>
      <c r="Z21" s="13" t="str">
        <f t="shared" si="18"/>
        <v>poor</v>
      </c>
      <c r="AA21" s="13" t="str">
        <f t="shared" si="0"/>
        <v>Not Sales Champion</v>
      </c>
      <c r="AB21" s="13" t="str">
        <f t="shared" si="19"/>
        <v>Admin Poor</v>
      </c>
      <c r="AC21" s="13" t="str">
        <f t="shared" si="20"/>
        <v>Silver Employee</v>
      </c>
      <c r="AD21" s="13" t="str">
        <f t="shared" si="21"/>
        <v>Not elligible Manager</v>
      </c>
    </row>
    <row r="22" spans="1:30" ht="16.8" x14ac:dyDescent="0.3">
      <c r="A22" s="12" t="s">
        <v>47</v>
      </c>
      <c r="B22" s="12" t="s">
        <v>48</v>
      </c>
      <c r="C22" s="12" t="s">
        <v>3</v>
      </c>
      <c r="D22" s="16">
        <v>125000</v>
      </c>
      <c r="E22" s="12">
        <v>95</v>
      </c>
      <c r="F22" s="12">
        <v>5</v>
      </c>
      <c r="G22" s="12" t="s">
        <v>8</v>
      </c>
      <c r="H22" s="13" t="str">
        <f t="shared" si="22"/>
        <v>Achived</v>
      </c>
      <c r="I22" s="13" t="str">
        <f t="shared" si="1"/>
        <v>Reggular</v>
      </c>
      <c r="J22" s="13" t="str">
        <f t="shared" si="2"/>
        <v>Senior</v>
      </c>
      <c r="K22" s="13" t="str">
        <f t="shared" si="3"/>
        <v>Achived</v>
      </c>
      <c r="L22" s="13" t="str">
        <f t="shared" si="4"/>
        <v>Regular</v>
      </c>
      <c r="M22" s="13" t="str">
        <f t="shared" si="5"/>
        <v>Senior</v>
      </c>
      <c r="N22" s="13" t="str">
        <f t="shared" si="6"/>
        <v>Normal</v>
      </c>
      <c r="O22" s="13" t="str">
        <f t="shared" si="7"/>
        <v>Revenue Team</v>
      </c>
      <c r="P22" s="14" t="str">
        <f t="shared" si="8"/>
        <v>Bonous Eligible</v>
      </c>
      <c r="Q22" s="14" t="str">
        <f t="shared" si="9"/>
        <v>Promotion eligible</v>
      </c>
      <c r="R22" s="14" t="str">
        <f t="shared" si="10"/>
        <v>Normal</v>
      </c>
      <c r="S22" s="13" t="str">
        <f t="shared" si="11"/>
        <v xml:space="preserve">Best Sales Person </v>
      </c>
      <c r="T22" s="13" t="str">
        <f t="shared" si="12"/>
        <v>Reliable Employee</v>
      </c>
      <c r="U22" s="13" t="str">
        <f t="shared" si="13"/>
        <v>High Value</v>
      </c>
      <c r="V22" s="13" t="str">
        <f t="shared" si="14"/>
        <v>Potential leader</v>
      </c>
      <c r="W22" s="13" t="str">
        <f t="shared" si="15"/>
        <v>Freshers</v>
      </c>
      <c r="X22" s="13" t="str">
        <f t="shared" si="16"/>
        <v>Needs attention</v>
      </c>
      <c r="Y22" s="13" t="str">
        <f t="shared" si="17"/>
        <v>Special Review</v>
      </c>
      <c r="Z22" s="13" t="str">
        <f t="shared" si="18"/>
        <v>Excellent</v>
      </c>
      <c r="AA22" s="13" t="str">
        <f t="shared" si="0"/>
        <v>Not Sales Champion</v>
      </c>
      <c r="AB22" s="13" t="str">
        <f t="shared" si="19"/>
        <v>Admin Poor</v>
      </c>
      <c r="AC22" s="13" t="str">
        <f t="shared" si="20"/>
        <v>Gold Employee</v>
      </c>
      <c r="AD22" s="13" t="str">
        <f t="shared" si="21"/>
        <v>Future manager</v>
      </c>
    </row>
    <row r="23" spans="1:30" ht="16.8" x14ac:dyDescent="0.3">
      <c r="A23" s="12" t="s">
        <v>49</v>
      </c>
      <c r="B23" s="12" t="s">
        <v>50</v>
      </c>
      <c r="C23" s="12" t="s">
        <v>17</v>
      </c>
      <c r="D23" s="16">
        <v>78000</v>
      </c>
      <c r="E23" s="12">
        <v>93</v>
      </c>
      <c r="F23" s="12">
        <v>2</v>
      </c>
      <c r="G23" s="12" t="s">
        <v>12</v>
      </c>
      <c r="H23" s="13" t="str">
        <f t="shared" si="22"/>
        <v>Not Achived</v>
      </c>
      <c r="I23" s="13" t="str">
        <f t="shared" si="1"/>
        <v>Reggular</v>
      </c>
      <c r="J23" s="13" t="str">
        <f t="shared" si="2"/>
        <v>Junior</v>
      </c>
      <c r="K23" s="13" t="str">
        <f t="shared" si="3"/>
        <v>Not Achived</v>
      </c>
      <c r="L23" s="13" t="str">
        <f t="shared" si="4"/>
        <v>Regular</v>
      </c>
      <c r="M23" s="13" t="str">
        <f t="shared" si="5"/>
        <v>Junior</v>
      </c>
      <c r="N23" s="13" t="str">
        <f t="shared" si="6"/>
        <v>Normal</v>
      </c>
      <c r="O23" s="13" t="str">
        <f t="shared" si="7"/>
        <v>Support Team</v>
      </c>
      <c r="P23" s="14" t="str">
        <f t="shared" si="8"/>
        <v>Not Eligible</v>
      </c>
      <c r="Q23" s="14" t="str">
        <f t="shared" si="9"/>
        <v>Promotion Not eligible</v>
      </c>
      <c r="R23" s="14" t="str">
        <f t="shared" si="10"/>
        <v>Normal</v>
      </c>
      <c r="S23" s="13" t="str">
        <f t="shared" si="11"/>
        <v>NotBestSalesPerson</v>
      </c>
      <c r="T23" s="13" t="str">
        <f t="shared" si="12"/>
        <v>Not Reliable Employee</v>
      </c>
      <c r="U23" s="13" t="str">
        <f t="shared" si="13"/>
        <v>Low Value</v>
      </c>
      <c r="V23" s="13" t="str">
        <f t="shared" si="14"/>
        <v>not Potential Leader</v>
      </c>
      <c r="W23" s="13" t="str">
        <f t="shared" si="15"/>
        <v>Back Office</v>
      </c>
      <c r="X23" s="13" t="str">
        <f t="shared" si="16"/>
        <v>No Attantion</v>
      </c>
      <c r="Y23" s="13" t="str">
        <f t="shared" si="17"/>
        <v>Common Review</v>
      </c>
      <c r="Z23" s="13" t="str">
        <f t="shared" si="18"/>
        <v>poor</v>
      </c>
      <c r="AA23" s="13" t="str">
        <f t="shared" si="0"/>
        <v>Not Sales Champion</v>
      </c>
      <c r="AB23" s="13" t="str">
        <f t="shared" si="19"/>
        <v xml:space="preserve">Admin Excellence </v>
      </c>
      <c r="AC23" s="13" t="str">
        <f t="shared" si="20"/>
        <v>Silver Employee</v>
      </c>
      <c r="AD23" s="13" t="str">
        <f t="shared" si="21"/>
        <v>Not elligible Manager</v>
      </c>
    </row>
    <row r="25" spans="1:30" x14ac:dyDescent="0.3">
      <c r="A25" s="2"/>
    </row>
    <row r="26" spans="1:30" x14ac:dyDescent="0.3">
      <c r="A26" s="1"/>
    </row>
  </sheetData>
  <phoneticPr fontId="5" type="noConversion"/>
  <conditionalFormatting sqref="C4:C23">
    <cfRule type="expression" dxfId="7" priority="12">
      <formula>$C4="sales"</formula>
    </cfRule>
  </conditionalFormatting>
  <conditionalFormatting sqref="D4:D23">
    <cfRule type="expression" dxfId="6" priority="11">
      <formula>$D4&gt;100000</formula>
    </cfRule>
  </conditionalFormatting>
  <conditionalFormatting sqref="E4:E23">
    <cfRule type="expression" dxfId="5" priority="10">
      <formula>$E4&gt;90</formula>
    </cfRule>
  </conditionalFormatting>
  <conditionalFormatting sqref="F4:F23">
    <cfRule type="expression" dxfId="4" priority="3">
      <formula>$F4&gt;5</formula>
    </cfRule>
  </conditionalFormatting>
  <conditionalFormatting sqref="G4:G23">
    <cfRule type="expression" dxfId="3" priority="2">
      <formula>$G4="YES"</formula>
    </cfRule>
  </conditionalFormatting>
  <conditionalFormatting sqref="K4:K23">
    <cfRule type="expression" dxfId="2" priority="1">
      <formula>$K4="Archived"</formula>
    </cfRule>
  </conditionalFormatting>
  <conditionalFormatting sqref="K4:O23">
    <cfRule type="expression" dxfId="1" priority="5">
      <formula>K4="Archive"</formula>
    </cfRule>
    <cfRule type="expression" dxfId="0" priority="7">
      <formula>$K4="Archive"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7554-F539-4044-B1E8-DFA8065C7312}">
  <dimension ref="A1:E33"/>
  <sheetViews>
    <sheetView zoomScale="89" workbookViewId="0">
      <selection activeCell="J15" sqref="J15"/>
    </sheetView>
  </sheetViews>
  <sheetFormatPr defaultRowHeight="14.4" x14ac:dyDescent="0.3"/>
  <sheetData>
    <row r="1" spans="1:5" ht="20.399999999999999" x14ac:dyDescent="0.3">
      <c r="A1" s="4" t="s">
        <v>51</v>
      </c>
    </row>
    <row r="2" spans="1:5" x14ac:dyDescent="0.3">
      <c r="A2" s="5"/>
    </row>
    <row r="3" spans="1:5" x14ac:dyDescent="0.3">
      <c r="A3" s="6" t="s">
        <v>52</v>
      </c>
    </row>
    <row r="4" spans="1:5" x14ac:dyDescent="0.3">
      <c r="A4" s="6" t="s">
        <v>53</v>
      </c>
      <c r="E4" t="s">
        <v>85</v>
      </c>
    </row>
    <row r="5" spans="1:5" x14ac:dyDescent="0.3">
      <c r="A5" s="6" t="s">
        <v>54</v>
      </c>
    </row>
    <row r="6" spans="1:5" x14ac:dyDescent="0.3">
      <c r="A6" s="6" t="s">
        <v>55</v>
      </c>
    </row>
    <row r="7" spans="1:5" x14ac:dyDescent="0.3">
      <c r="A7" s="6" t="s">
        <v>56</v>
      </c>
    </row>
    <row r="9" spans="1:5" ht="20.399999999999999" x14ac:dyDescent="0.3">
      <c r="A9" s="4" t="s">
        <v>57</v>
      </c>
    </row>
    <row r="10" spans="1:5" x14ac:dyDescent="0.3">
      <c r="A10" s="5"/>
    </row>
    <row r="11" spans="1:5" x14ac:dyDescent="0.3">
      <c r="A11" s="6" t="s">
        <v>58</v>
      </c>
    </row>
    <row r="12" spans="1:5" x14ac:dyDescent="0.3">
      <c r="A12" s="6" t="s">
        <v>59</v>
      </c>
    </row>
    <row r="13" spans="1:5" x14ac:dyDescent="0.3">
      <c r="A13" s="6" t="s">
        <v>60</v>
      </c>
    </row>
    <row r="14" spans="1:5" x14ac:dyDescent="0.3">
      <c r="A14" s="6" t="s">
        <v>61</v>
      </c>
    </row>
    <row r="15" spans="1:5" x14ac:dyDescent="0.3">
      <c r="A15" s="6" t="s">
        <v>62</v>
      </c>
    </row>
    <row r="17" spans="1:1" ht="20.399999999999999" x14ac:dyDescent="0.3">
      <c r="A17" s="4" t="s">
        <v>63</v>
      </c>
    </row>
    <row r="18" spans="1:1" x14ac:dyDescent="0.3">
      <c r="A18" s="5"/>
    </row>
    <row r="19" spans="1:1" x14ac:dyDescent="0.3">
      <c r="A19" s="6" t="s">
        <v>64</v>
      </c>
    </row>
    <row r="20" spans="1:1" x14ac:dyDescent="0.3">
      <c r="A20" s="6" t="s">
        <v>65</v>
      </c>
    </row>
    <row r="21" spans="1:1" x14ac:dyDescent="0.3">
      <c r="A21" s="6" t="s">
        <v>66</v>
      </c>
    </row>
    <row r="22" spans="1:1" x14ac:dyDescent="0.3">
      <c r="A22" s="6" t="s">
        <v>67</v>
      </c>
    </row>
    <row r="23" spans="1:1" x14ac:dyDescent="0.3">
      <c r="A23" s="6" t="s">
        <v>68</v>
      </c>
    </row>
    <row r="25" spans="1:1" ht="20.399999999999999" x14ac:dyDescent="0.3">
      <c r="A25" s="4" t="s">
        <v>69</v>
      </c>
    </row>
    <row r="26" spans="1:1" x14ac:dyDescent="0.3">
      <c r="A26" s="5"/>
    </row>
    <row r="27" spans="1:1" x14ac:dyDescent="0.3">
      <c r="A27" s="6" t="s">
        <v>70</v>
      </c>
    </row>
    <row r="28" spans="1:1" x14ac:dyDescent="0.3">
      <c r="A28" s="6" t="s">
        <v>71</v>
      </c>
    </row>
    <row r="29" spans="1:1" x14ac:dyDescent="0.3">
      <c r="A29" s="6" t="s">
        <v>72</v>
      </c>
    </row>
    <row r="30" spans="1:1" x14ac:dyDescent="0.3">
      <c r="A30" s="6" t="s">
        <v>73</v>
      </c>
    </row>
    <row r="31" spans="1:1" x14ac:dyDescent="0.3">
      <c r="A31" s="6" t="s">
        <v>74</v>
      </c>
    </row>
    <row r="32" spans="1:1" x14ac:dyDescent="0.3">
      <c r="A32" s="1"/>
    </row>
    <row r="33" spans="1:1" x14ac:dyDescent="0.3">
      <c r="A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varmaneha4940@gmail.com</dc:creator>
  <cp:lastModifiedBy>varmaneha4940@gmail.com</cp:lastModifiedBy>
  <dcterms:created xsi:type="dcterms:W3CDTF">2026-06-15T05:51:14Z</dcterms:created>
  <dcterms:modified xsi:type="dcterms:W3CDTF">2026-08-25T09:02:30Z</dcterms:modified>
</cp:coreProperties>
</file>